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svn server\c1s-210\trunk\Doc\measure\"/>
    </mc:Choice>
  </mc:AlternateContent>
  <xr:revisionPtr revIDLastSave="0" documentId="13_ncr:1_{50EAF834-2E71-4F27-880E-D8AAE87A8E6F}" xr6:coauthVersionLast="47" xr6:coauthVersionMax="47" xr10:uidLastSave="{00000000-0000-0000-0000-000000000000}"/>
  <bookViews>
    <workbookView xWindow="25490" yWindow="-110" windowWidth="38620" windowHeight="21100" activeTab="2" xr2:uid="{00000000-000D-0000-FFFF-FFFF00000000}"/>
  </bookViews>
  <sheets>
    <sheet name="Sheet1" sheetId="1" r:id="rId1"/>
    <sheet name="Sheet1 (2)" sheetId="2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E3" i="3" s="1"/>
  <c r="F3" i="3" s="1"/>
  <c r="G3" i="3" s="1"/>
  <c r="C3" i="2"/>
  <c r="E3" i="2" s="1"/>
  <c r="F3" i="2" s="1"/>
  <c r="G3" i="2" s="1"/>
  <c r="D24" i="1"/>
  <c r="B24" i="1"/>
  <c r="D23" i="1"/>
  <c r="B23" i="1"/>
  <c r="D22" i="1"/>
  <c r="B22" i="1"/>
  <c r="D21" i="1"/>
  <c r="C8" i="1" l="1"/>
  <c r="E8" i="1" s="1"/>
  <c r="C9" i="1"/>
  <c r="E9" i="1" s="1"/>
  <c r="C7" i="1"/>
  <c r="E7" i="1" s="1"/>
  <c r="B3" i="1"/>
  <c r="C3" i="1" s="1"/>
  <c r="D3" i="1" s="1"/>
  <c r="E3" i="1" l="1"/>
</calcChain>
</file>

<file path=xl/sharedStrings.xml><?xml version="1.0" encoding="utf-8"?>
<sst xmlns="http://schemas.openxmlformats.org/spreadsheetml/2006/main" count="105" uniqueCount="41">
  <si>
    <t>◎ 메모리 용량</t>
    <phoneticPr fontId="3" type="noConversion"/>
  </si>
  <si>
    <t>Mbit</t>
    <phoneticPr fontId="4" type="noConversion"/>
  </si>
  <si>
    <t>kbit</t>
    <phoneticPr fontId="4" type="noConversion"/>
  </si>
  <si>
    <t>bit</t>
    <phoneticPr fontId="4" type="noConversion"/>
  </si>
  <si>
    <t>Byte</t>
    <phoneticPr fontId="4" type="noConversion"/>
  </si>
  <si>
    <t>kByte</t>
    <phoneticPr fontId="4" type="noConversion"/>
  </si>
  <si>
    <t>측정 범위 [m]</t>
    <phoneticPr fontId="4" type="noConversion"/>
  </si>
  <si>
    <t>분해능 [m]</t>
    <phoneticPr fontId="4" type="noConversion"/>
  </si>
  <si>
    <t>저장 공간</t>
    <phoneticPr fontId="4" type="noConversion"/>
  </si>
  <si>
    <t>avg 개수</t>
    <phoneticPr fontId="4" type="noConversion"/>
  </si>
  <si>
    <t>필요 공간</t>
    <phoneticPr fontId="4" type="noConversion"/>
  </si>
  <si>
    <t>~</t>
    <phoneticPr fontId="4" type="noConversion"/>
  </si>
  <si>
    <t>메모리 주소</t>
    <phoneticPr fontId="3" type="noConversion"/>
  </si>
  <si>
    <t>◎ Echo data</t>
    <phoneticPr fontId="4" type="noConversion"/>
  </si>
  <si>
    <t>◎ 메모리 구성 - 10m</t>
    <phoneticPr fontId="4" type="noConversion"/>
  </si>
  <si>
    <t>~</t>
    <phoneticPr fontId="3" type="noConversion"/>
  </si>
  <si>
    <t>AD Data</t>
    <phoneticPr fontId="3" type="noConversion"/>
  </si>
  <si>
    <t>Log Data</t>
    <phoneticPr fontId="3" type="noConversion"/>
  </si>
  <si>
    <t>Echo Data</t>
    <phoneticPr fontId="3" type="noConversion"/>
  </si>
  <si>
    <t>Damp</t>
    <phoneticPr fontId="3" type="noConversion"/>
  </si>
  <si>
    <t>(+70000)</t>
    <phoneticPr fontId="3" type="noConversion"/>
  </si>
  <si>
    <t>`</t>
    <phoneticPr fontId="3" type="noConversion"/>
  </si>
  <si>
    <t>0(-)</t>
    <phoneticPr fontId="3" type="noConversion"/>
  </si>
  <si>
    <t>MRAM 메모리 구성</t>
    <phoneticPr fontId="4" type="noConversion"/>
  </si>
  <si>
    <t>펌웨어 버전</t>
    <phoneticPr fontId="3" type="noConversion"/>
  </si>
  <si>
    <t>변경 전(~v7.1.5)</t>
    <phoneticPr fontId="3" type="noConversion"/>
  </si>
  <si>
    <t>변경 후(v7.1.6)</t>
    <phoneticPr fontId="3" type="noConversion"/>
  </si>
  <si>
    <t>250000(+100000)</t>
    <phoneticPr fontId="3" type="noConversion"/>
  </si>
  <si>
    <t>250001(+100000)</t>
    <phoneticPr fontId="3" type="noConversion"/>
  </si>
  <si>
    <t>360000(+100000)</t>
    <phoneticPr fontId="3" type="noConversion"/>
  </si>
  <si>
    <t>360001(+100000)</t>
    <phoneticPr fontId="3" type="noConversion"/>
  </si>
  <si>
    <t>360401(+100000)</t>
    <phoneticPr fontId="3" type="noConversion"/>
  </si>
  <si>
    <t>370001(+100000)</t>
    <phoneticPr fontId="3" type="noConversion"/>
  </si>
  <si>
    <t>377199(+100000)</t>
    <phoneticPr fontId="3" type="noConversion"/>
  </si>
  <si>
    <t>AD Number</t>
    <phoneticPr fontId="4" type="noConversion"/>
  </si>
  <si>
    <t>ADC_DATA_MAX</t>
    <phoneticPr fontId="3" type="noConversion"/>
  </si>
  <si>
    <t>2200(20m)</t>
    <phoneticPr fontId="3" type="noConversion"/>
  </si>
  <si>
    <t>저장 공간(ADC_DATA_MAX*AD Number)</t>
    <phoneticPr fontId="4" type="noConversion"/>
  </si>
  <si>
    <t>◎ AD Raw Data</t>
    <phoneticPr fontId="4" type="noConversion"/>
  </si>
  <si>
    <t>◎ 메모리 구성 - 20m</t>
    <phoneticPr fontId="4" type="noConversion"/>
  </si>
  <si>
    <t>Profile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</si>
</sst>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.00_);[Red]\(#,##0.0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2" applyBorder="1" applyAlignment="1">
      <alignment horizontal="center" vertical="center"/>
    </xf>
    <xf numFmtId="176" fontId="1" fillId="0" borderId="1" xfId="2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77" fontId="0" fillId="0" borderId="1" xfId="1" applyNumberFormat="1" applyFont="1" applyFill="1" applyBorder="1" applyAlignment="1">
      <alignment horizontal="center" vertical="center"/>
    </xf>
    <xf numFmtId="178" fontId="0" fillId="0" borderId="1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0" fillId="0" borderId="10" xfId="1" applyNumberFormat="1" applyFont="1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="130" zoomScaleNormal="130" workbookViewId="0">
      <selection activeCell="A23" sqref="A23"/>
    </sheetView>
  </sheetViews>
  <sheetFormatPr defaultRowHeight="17" x14ac:dyDescent="0.45"/>
  <cols>
    <col min="1" max="1" width="27.58203125" customWidth="1"/>
    <col min="2" max="2" width="10.58203125" bestFit="1" customWidth="1"/>
    <col min="3" max="3" width="9.9140625" bestFit="1" customWidth="1"/>
    <col min="4" max="4" width="8.9140625" bestFit="1" customWidth="1"/>
    <col min="5" max="5" width="9.58203125" bestFit="1" customWidth="1"/>
  </cols>
  <sheetData>
    <row r="1" spans="1:6" x14ac:dyDescent="0.45">
      <c r="A1" s="25" t="s">
        <v>0</v>
      </c>
      <c r="B1" s="1"/>
      <c r="C1" s="1"/>
      <c r="D1" s="1"/>
      <c r="E1" s="1"/>
      <c r="F1" s="2"/>
    </row>
    <row r="2" spans="1:6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</row>
    <row r="3" spans="1:6" x14ac:dyDescent="0.45">
      <c r="A3" s="4">
        <v>4</v>
      </c>
      <c r="B3" s="4">
        <f>A3*1024</f>
        <v>4096</v>
      </c>
      <c r="C3" s="4">
        <f>B3*1024</f>
        <v>4194304</v>
      </c>
      <c r="D3" s="4">
        <f>C3/8</f>
        <v>524288</v>
      </c>
      <c r="E3" s="4">
        <f>D3/1024</f>
        <v>512</v>
      </c>
      <c r="F3" s="2"/>
    </row>
    <row r="4" spans="1:6" x14ac:dyDescent="0.45">
      <c r="A4" s="2"/>
      <c r="B4" s="2"/>
      <c r="C4" s="2"/>
      <c r="D4" s="2"/>
      <c r="E4" s="2"/>
      <c r="F4" s="2"/>
    </row>
    <row r="5" spans="1:6" x14ac:dyDescent="0.45">
      <c r="A5" s="5" t="s">
        <v>13</v>
      </c>
      <c r="B5" s="2"/>
      <c r="C5" s="2"/>
      <c r="D5" s="2"/>
      <c r="E5" s="2"/>
      <c r="F5" s="2"/>
    </row>
    <row r="6" spans="1:6" x14ac:dyDescent="0.4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</row>
    <row r="7" spans="1:6" x14ac:dyDescent="0.45">
      <c r="A7" s="7">
        <v>11</v>
      </c>
      <c r="B7" s="8">
        <v>0.01</v>
      </c>
      <c r="C7" s="7">
        <f>A7/B7</f>
        <v>1100</v>
      </c>
      <c r="D7" s="7">
        <v>30</v>
      </c>
      <c r="E7" s="7">
        <f>C7*D7</f>
        <v>33000</v>
      </c>
    </row>
    <row r="8" spans="1:6" x14ac:dyDescent="0.45">
      <c r="A8" s="7">
        <v>22</v>
      </c>
      <c r="B8" s="8">
        <v>0.01</v>
      </c>
      <c r="C8" s="7">
        <f>A8/B8</f>
        <v>2200</v>
      </c>
      <c r="D8" s="7">
        <v>30</v>
      </c>
      <c r="E8" s="7">
        <f>C8*D8</f>
        <v>66000</v>
      </c>
    </row>
    <row r="9" spans="1:6" x14ac:dyDescent="0.45">
      <c r="A9" s="7">
        <v>33</v>
      </c>
      <c r="B9" s="8">
        <v>0.01</v>
      </c>
      <c r="C9" s="7">
        <f>A9/B9</f>
        <v>3300</v>
      </c>
      <c r="D9" s="7">
        <v>30</v>
      </c>
      <c r="E9" s="7">
        <f>C9*D9</f>
        <v>99000</v>
      </c>
    </row>
    <row r="10" spans="1:6" x14ac:dyDescent="0.45">
      <c r="A10" s="2"/>
      <c r="B10" s="2"/>
      <c r="C10" s="2"/>
      <c r="D10" s="2"/>
      <c r="E10" s="2"/>
      <c r="F10" s="2"/>
    </row>
    <row r="11" spans="1:6" ht="17.5" thickBot="1" x14ac:dyDescent="0.5">
      <c r="A11" s="5" t="s">
        <v>14</v>
      </c>
      <c r="B11" s="29" t="s">
        <v>12</v>
      </c>
      <c r="C11" s="29"/>
      <c r="D11" s="29"/>
      <c r="E11" s="29"/>
    </row>
    <row r="12" spans="1:6" x14ac:dyDescent="0.45">
      <c r="A12" s="18" t="s">
        <v>16</v>
      </c>
      <c r="B12" s="19">
        <v>0</v>
      </c>
      <c r="C12" s="9" t="s">
        <v>11</v>
      </c>
      <c r="D12" s="19">
        <v>150000</v>
      </c>
      <c r="E12" s="20"/>
    </row>
    <row r="13" spans="1:6" x14ac:dyDescent="0.45">
      <c r="A13" s="21" t="s">
        <v>17</v>
      </c>
      <c r="B13" s="16">
        <v>150001</v>
      </c>
      <c r="C13" s="16" t="s">
        <v>15</v>
      </c>
      <c r="D13" s="16">
        <v>260000</v>
      </c>
      <c r="E13" s="17"/>
    </row>
    <row r="14" spans="1:6" x14ac:dyDescent="0.45">
      <c r="A14" s="21" t="s">
        <v>18</v>
      </c>
      <c r="B14" s="16">
        <v>260001</v>
      </c>
      <c r="C14" s="16" t="s">
        <v>15</v>
      </c>
      <c r="D14" s="16">
        <v>260401</v>
      </c>
      <c r="E14" s="17"/>
    </row>
    <row r="15" spans="1:6" x14ac:dyDescent="0.45">
      <c r="A15" s="11" t="s">
        <v>19</v>
      </c>
      <c r="B15" s="12">
        <v>270001</v>
      </c>
      <c r="C15" s="6" t="s">
        <v>15</v>
      </c>
      <c r="D15" s="13">
        <v>277199</v>
      </c>
      <c r="E15" s="14"/>
    </row>
    <row r="16" spans="1:6" x14ac:dyDescent="0.45">
      <c r="A16" s="11"/>
      <c r="B16" s="15"/>
      <c r="C16" s="16"/>
      <c r="D16" s="16"/>
      <c r="E16" s="17"/>
    </row>
    <row r="17" spans="1:5" x14ac:dyDescent="0.45">
      <c r="A17" s="21"/>
      <c r="B17" s="16"/>
      <c r="C17" s="16"/>
      <c r="D17" s="16"/>
      <c r="E17" s="17"/>
    </row>
    <row r="18" spans="1:5" ht="17.5" thickBot="1" x14ac:dyDescent="0.5">
      <c r="A18" s="22"/>
      <c r="B18" s="23"/>
      <c r="C18" s="10"/>
      <c r="D18" s="23"/>
      <c r="E18" s="24" t="s">
        <v>21</v>
      </c>
    </row>
    <row r="20" spans="1:5" ht="17.5" thickBot="1" x14ac:dyDescent="0.5">
      <c r="A20" s="5" t="s">
        <v>14</v>
      </c>
      <c r="B20" s="29" t="s">
        <v>12</v>
      </c>
      <c r="C20" s="29"/>
      <c r="D20" s="29"/>
      <c r="E20" s="29"/>
    </row>
    <row r="21" spans="1:5" ht="17.5" thickBot="1" x14ac:dyDescent="0.5">
      <c r="A21" s="18" t="s">
        <v>16</v>
      </c>
      <c r="B21" s="19">
        <v>0</v>
      </c>
      <c r="C21" s="9" t="s">
        <v>11</v>
      </c>
      <c r="D21" s="19">
        <f>D12+70000</f>
        <v>220000</v>
      </c>
      <c r="E21" s="20" t="s">
        <v>20</v>
      </c>
    </row>
    <row r="22" spans="1:5" ht="17.5" thickBot="1" x14ac:dyDescent="0.5">
      <c r="A22" s="21" t="s">
        <v>17</v>
      </c>
      <c r="B22" s="16">
        <f>B13+70000</f>
        <v>220001</v>
      </c>
      <c r="C22" s="16" t="s">
        <v>15</v>
      </c>
      <c r="D22" s="16">
        <f>D13+70000</f>
        <v>330000</v>
      </c>
      <c r="E22" s="20" t="s">
        <v>20</v>
      </c>
    </row>
    <row r="23" spans="1:5" ht="17.5" thickBot="1" x14ac:dyDescent="0.5">
      <c r="A23" s="21" t="s">
        <v>18</v>
      </c>
      <c r="B23" s="16">
        <f>B14+70000</f>
        <v>330001</v>
      </c>
      <c r="C23" s="16" t="s">
        <v>15</v>
      </c>
      <c r="D23" s="16">
        <f>D14+70000</f>
        <v>330401</v>
      </c>
      <c r="E23" s="20" t="s">
        <v>20</v>
      </c>
    </row>
    <row r="24" spans="1:5" x14ac:dyDescent="0.45">
      <c r="A24" s="11" t="s">
        <v>19</v>
      </c>
      <c r="B24" s="12">
        <f>B15+70000</f>
        <v>340001</v>
      </c>
      <c r="C24" s="6" t="s">
        <v>15</v>
      </c>
      <c r="D24" s="13">
        <f>D15+70000</f>
        <v>347199</v>
      </c>
      <c r="E24" s="20" t="s">
        <v>20</v>
      </c>
    </row>
    <row r="25" spans="1:5" x14ac:dyDescent="0.45">
      <c r="A25" s="11"/>
      <c r="B25" s="15"/>
      <c r="C25" s="16"/>
      <c r="D25" s="16"/>
      <c r="E25" s="17"/>
    </row>
    <row r="26" spans="1:5" x14ac:dyDescent="0.45">
      <c r="A26" s="21"/>
      <c r="B26" s="16"/>
      <c r="C26" s="16"/>
      <c r="D26" s="16"/>
      <c r="E26" s="17"/>
    </row>
    <row r="27" spans="1:5" ht="17.5" thickBot="1" x14ac:dyDescent="0.5">
      <c r="A27" s="22"/>
      <c r="B27" s="23"/>
      <c r="C27" s="10"/>
      <c r="D27" s="23"/>
      <c r="E27" s="24"/>
    </row>
  </sheetData>
  <mergeCells count="2">
    <mergeCell ref="B11:E11"/>
    <mergeCell ref="B20:E2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="145" zoomScaleNormal="145" workbookViewId="0">
      <selection activeCell="A32" sqref="A32"/>
    </sheetView>
  </sheetViews>
  <sheetFormatPr defaultRowHeight="17" x14ac:dyDescent="0.45"/>
  <cols>
    <col min="1" max="1" width="27.58203125" customWidth="1"/>
    <col min="2" max="2" width="15.6640625" customWidth="1"/>
    <col min="3" max="3" width="10.58203125" bestFit="1" customWidth="1"/>
    <col min="4" max="4" width="10.58203125" customWidth="1"/>
    <col min="5" max="5" width="9.9140625" bestFit="1" customWidth="1"/>
    <col min="6" max="6" width="8.9140625" bestFit="1" customWidth="1"/>
    <col min="7" max="7" width="9.58203125" bestFit="1" customWidth="1"/>
  </cols>
  <sheetData>
    <row r="1" spans="1:8" x14ac:dyDescent="0.45">
      <c r="A1" s="25" t="s">
        <v>0</v>
      </c>
      <c r="B1" s="25"/>
      <c r="C1" s="1"/>
      <c r="D1" s="1"/>
      <c r="E1" s="1"/>
      <c r="F1" s="1"/>
      <c r="G1" s="1"/>
      <c r="H1" s="2"/>
    </row>
    <row r="2" spans="1:8" x14ac:dyDescent="0.45">
      <c r="A2" s="3" t="s">
        <v>1</v>
      </c>
      <c r="B2" s="3"/>
      <c r="C2" s="3" t="s">
        <v>2</v>
      </c>
      <c r="D2" s="3"/>
      <c r="E2" s="3" t="s">
        <v>3</v>
      </c>
      <c r="F2" s="3" t="s">
        <v>4</v>
      </c>
      <c r="G2" s="3" t="s">
        <v>5</v>
      </c>
      <c r="H2" s="2"/>
    </row>
    <row r="3" spans="1:8" x14ac:dyDescent="0.45">
      <c r="A3" s="4">
        <v>4</v>
      </c>
      <c r="B3" s="4"/>
      <c r="C3" s="4">
        <f>A3*1024</f>
        <v>4096</v>
      </c>
      <c r="D3" s="4"/>
      <c r="E3" s="4">
        <f>C3*1024</f>
        <v>4194304</v>
      </c>
      <c r="F3" s="4">
        <f>E3/8</f>
        <v>524288</v>
      </c>
      <c r="G3" s="4">
        <f>F3/1024</f>
        <v>512</v>
      </c>
      <c r="H3" s="2"/>
    </row>
    <row r="4" spans="1:8" x14ac:dyDescent="0.45">
      <c r="A4" s="2"/>
      <c r="B4" s="2"/>
      <c r="C4" s="2"/>
      <c r="D4" s="2"/>
      <c r="E4" s="2"/>
      <c r="F4" s="2"/>
      <c r="G4" s="2"/>
      <c r="H4" s="2"/>
    </row>
    <row r="5" spans="1:8" x14ac:dyDescent="0.45">
      <c r="A5" s="5" t="s">
        <v>38</v>
      </c>
      <c r="B5" s="5"/>
      <c r="C5" s="2"/>
      <c r="D5" s="2"/>
      <c r="E5" s="2"/>
      <c r="F5" s="2"/>
      <c r="G5" s="2"/>
      <c r="H5" s="2"/>
    </row>
    <row r="6" spans="1:8" x14ac:dyDescent="0.45">
      <c r="A6" s="6" t="s">
        <v>34</v>
      </c>
      <c r="B6" s="30" t="s">
        <v>35</v>
      </c>
      <c r="C6" s="30"/>
      <c r="D6" s="30" t="s">
        <v>37</v>
      </c>
      <c r="E6" s="30"/>
      <c r="F6" s="30"/>
      <c r="G6" s="30"/>
    </row>
    <row r="7" spans="1:8" x14ac:dyDescent="0.45">
      <c r="A7" s="6">
        <v>10</v>
      </c>
      <c r="B7" s="30" t="s">
        <v>36</v>
      </c>
      <c r="C7" s="30"/>
      <c r="D7" s="30">
        <v>22000</v>
      </c>
      <c r="E7" s="30"/>
      <c r="F7" s="30"/>
      <c r="G7" s="30"/>
    </row>
    <row r="8" spans="1:8" x14ac:dyDescent="0.45">
      <c r="A8" s="6">
        <v>20</v>
      </c>
      <c r="B8" s="30"/>
      <c r="C8" s="30"/>
      <c r="D8" s="30">
        <v>44000</v>
      </c>
      <c r="E8" s="30"/>
      <c r="F8" s="30"/>
      <c r="G8" s="30"/>
    </row>
    <row r="9" spans="1:8" x14ac:dyDescent="0.45">
      <c r="A9" s="6">
        <v>30</v>
      </c>
      <c r="B9" s="30"/>
      <c r="C9" s="30"/>
      <c r="D9" s="30">
        <v>66000</v>
      </c>
      <c r="E9" s="30"/>
      <c r="F9" s="30"/>
      <c r="G9" s="30"/>
    </row>
    <row r="10" spans="1:8" x14ac:dyDescent="0.45">
      <c r="A10" s="6">
        <v>40</v>
      </c>
      <c r="B10" s="30"/>
      <c r="C10" s="30"/>
      <c r="D10" s="30">
        <v>88000</v>
      </c>
      <c r="E10" s="30"/>
      <c r="F10" s="30"/>
      <c r="G10" s="30"/>
    </row>
    <row r="11" spans="1:8" x14ac:dyDescent="0.45">
      <c r="A11" s="6">
        <v>50</v>
      </c>
      <c r="B11" s="30"/>
      <c r="C11" s="30"/>
      <c r="D11" s="30">
        <v>110000</v>
      </c>
      <c r="E11" s="30"/>
      <c r="F11" s="30"/>
      <c r="G11" s="30"/>
    </row>
    <row r="12" spans="1:8" x14ac:dyDescent="0.45">
      <c r="A12" s="6">
        <v>60</v>
      </c>
      <c r="B12" s="30"/>
      <c r="C12" s="30"/>
      <c r="D12" s="30">
        <v>132000</v>
      </c>
      <c r="E12" s="30"/>
      <c r="F12" s="30"/>
      <c r="G12" s="30"/>
    </row>
    <row r="13" spans="1:8" x14ac:dyDescent="0.45">
      <c r="A13" s="6">
        <v>70</v>
      </c>
      <c r="B13" s="30"/>
      <c r="C13" s="30"/>
      <c r="D13" s="30">
        <v>154000</v>
      </c>
      <c r="E13" s="30"/>
      <c r="F13" s="30"/>
      <c r="G13" s="30"/>
    </row>
    <row r="14" spans="1:8" x14ac:dyDescent="0.45">
      <c r="A14" s="6">
        <v>80</v>
      </c>
      <c r="B14" s="30"/>
      <c r="C14" s="30"/>
      <c r="D14" s="30">
        <v>176000</v>
      </c>
      <c r="E14" s="30"/>
      <c r="F14" s="30"/>
      <c r="G14" s="30"/>
    </row>
    <row r="15" spans="1:8" x14ac:dyDescent="0.45">
      <c r="A15" s="6">
        <v>90</v>
      </c>
      <c r="B15" s="30"/>
      <c r="C15" s="30"/>
      <c r="D15" s="30">
        <v>198000</v>
      </c>
      <c r="E15" s="30"/>
      <c r="F15" s="30"/>
      <c r="G15" s="30"/>
    </row>
    <row r="16" spans="1:8" x14ac:dyDescent="0.45">
      <c r="A16" s="7">
        <v>100</v>
      </c>
      <c r="B16" s="30"/>
      <c r="C16" s="30"/>
      <c r="D16" s="30">
        <v>220000</v>
      </c>
      <c r="E16" s="30"/>
      <c r="F16" s="30"/>
      <c r="G16" s="30"/>
    </row>
    <row r="17" spans="1:8" x14ac:dyDescent="0.45">
      <c r="A17" s="2"/>
      <c r="B17" s="2"/>
      <c r="C17" s="2"/>
      <c r="D17" s="2"/>
      <c r="E17" s="2"/>
      <c r="F17" s="2"/>
      <c r="G17" s="2"/>
      <c r="H17" s="2"/>
    </row>
    <row r="18" spans="1:8" x14ac:dyDescent="0.45">
      <c r="A18" s="5" t="s">
        <v>39</v>
      </c>
    </row>
    <row r="19" spans="1:8" x14ac:dyDescent="0.45">
      <c r="A19" s="26" t="s">
        <v>23</v>
      </c>
      <c r="B19" s="26" t="s">
        <v>24</v>
      </c>
      <c r="C19" s="34" t="s">
        <v>12</v>
      </c>
      <c r="D19" s="34"/>
      <c r="E19" s="34"/>
      <c r="F19" s="34"/>
      <c r="G19" s="34"/>
    </row>
    <row r="20" spans="1:8" x14ac:dyDescent="0.45">
      <c r="A20" s="34" t="s">
        <v>16</v>
      </c>
      <c r="B20" s="26" t="s">
        <v>25</v>
      </c>
      <c r="C20" s="32">
        <v>0</v>
      </c>
      <c r="D20" s="32"/>
      <c r="E20" s="26" t="s">
        <v>11</v>
      </c>
      <c r="F20" s="32">
        <v>150000</v>
      </c>
      <c r="G20" s="32"/>
    </row>
    <row r="21" spans="1:8" x14ac:dyDescent="0.45">
      <c r="A21" s="34"/>
      <c r="B21" s="28" t="s">
        <v>26</v>
      </c>
      <c r="C21" s="31" t="s">
        <v>22</v>
      </c>
      <c r="D21" s="31"/>
      <c r="E21" s="28" t="s">
        <v>11</v>
      </c>
      <c r="F21" s="31" t="s">
        <v>27</v>
      </c>
      <c r="G21" s="31"/>
    </row>
    <row r="22" spans="1:8" x14ac:dyDescent="0.45">
      <c r="A22" s="34" t="s">
        <v>17</v>
      </c>
      <c r="B22" s="26" t="s">
        <v>25</v>
      </c>
      <c r="C22" s="34">
        <v>150001</v>
      </c>
      <c r="D22" s="34"/>
      <c r="E22" s="26" t="s">
        <v>15</v>
      </c>
      <c r="F22" s="34">
        <v>260000</v>
      </c>
      <c r="G22" s="34"/>
    </row>
    <row r="23" spans="1:8" x14ac:dyDescent="0.45">
      <c r="A23" s="34"/>
      <c r="B23" s="28" t="s">
        <v>26</v>
      </c>
      <c r="C23" s="33" t="s">
        <v>28</v>
      </c>
      <c r="D23" s="33"/>
      <c r="E23" s="28" t="s">
        <v>15</v>
      </c>
      <c r="F23" s="33" t="s">
        <v>29</v>
      </c>
      <c r="G23" s="33"/>
    </row>
    <row r="24" spans="1:8" x14ac:dyDescent="0.45">
      <c r="A24" s="34" t="s">
        <v>18</v>
      </c>
      <c r="B24" s="26" t="s">
        <v>25</v>
      </c>
      <c r="C24" s="34">
        <v>260001</v>
      </c>
      <c r="D24" s="34"/>
      <c r="E24" s="26" t="s">
        <v>15</v>
      </c>
      <c r="F24" s="34">
        <v>260401</v>
      </c>
      <c r="G24" s="34"/>
    </row>
    <row r="25" spans="1:8" x14ac:dyDescent="0.45">
      <c r="A25" s="34"/>
      <c r="B25" s="28" t="s">
        <v>26</v>
      </c>
      <c r="C25" s="33" t="s">
        <v>30</v>
      </c>
      <c r="D25" s="33"/>
      <c r="E25" s="28" t="s">
        <v>15</v>
      </c>
      <c r="F25" s="33" t="s">
        <v>31</v>
      </c>
      <c r="G25" s="33"/>
    </row>
    <row r="26" spans="1:8" x14ac:dyDescent="0.45">
      <c r="A26" s="34" t="s">
        <v>19</v>
      </c>
      <c r="B26" s="26" t="s">
        <v>25</v>
      </c>
      <c r="C26" s="36">
        <v>270001</v>
      </c>
      <c r="D26" s="36"/>
      <c r="E26" s="26" t="s">
        <v>15</v>
      </c>
      <c r="F26" s="32">
        <v>277199</v>
      </c>
      <c r="G26" s="32"/>
    </row>
    <row r="27" spans="1:8" x14ac:dyDescent="0.45">
      <c r="A27" s="34"/>
      <c r="B27" s="28" t="s">
        <v>26</v>
      </c>
      <c r="C27" s="35" t="s">
        <v>32</v>
      </c>
      <c r="D27" s="35"/>
      <c r="E27" s="28" t="s">
        <v>15</v>
      </c>
      <c r="F27" s="31" t="s">
        <v>33</v>
      </c>
      <c r="G27" s="31"/>
      <c r="H27" s="27"/>
    </row>
  </sheetData>
  <mergeCells count="34">
    <mergeCell ref="C19:G19"/>
    <mergeCell ref="A20:A21"/>
    <mergeCell ref="A22:A23"/>
    <mergeCell ref="A24:A25"/>
    <mergeCell ref="A26:A27"/>
    <mergeCell ref="F20:G20"/>
    <mergeCell ref="F21:G21"/>
    <mergeCell ref="C20:D20"/>
    <mergeCell ref="C21:D21"/>
    <mergeCell ref="F22:G22"/>
    <mergeCell ref="C27:D27"/>
    <mergeCell ref="C26:D26"/>
    <mergeCell ref="C25:D25"/>
    <mergeCell ref="C24:D24"/>
    <mergeCell ref="C23:D23"/>
    <mergeCell ref="C22:D22"/>
    <mergeCell ref="F27:G27"/>
    <mergeCell ref="F26:G26"/>
    <mergeCell ref="F25:G25"/>
    <mergeCell ref="F24:G24"/>
    <mergeCell ref="F23:G23"/>
    <mergeCell ref="D7:G7"/>
    <mergeCell ref="B6:C6"/>
    <mergeCell ref="B7:C16"/>
    <mergeCell ref="D6:G6"/>
    <mergeCell ref="D16:G16"/>
    <mergeCell ref="D15:G15"/>
    <mergeCell ref="D14:G14"/>
    <mergeCell ref="D13:G13"/>
    <mergeCell ref="D12:G12"/>
    <mergeCell ref="D11:G11"/>
    <mergeCell ref="D10:G10"/>
    <mergeCell ref="D9:G9"/>
    <mergeCell ref="D8:G8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0BC7-2759-4EED-8E81-2D1A859696D6}">
  <dimension ref="A1:H24"/>
  <sheetViews>
    <sheetView tabSelected="1" zoomScale="145" zoomScaleNormal="145" workbookViewId="0">
      <selection activeCell="F25" sqref="F25"/>
    </sheetView>
  </sheetViews>
  <sheetFormatPr defaultRowHeight="17" x14ac:dyDescent="0.45"/>
  <cols>
    <col min="1" max="1" width="27.58203125" customWidth="1"/>
    <col min="2" max="2" width="15.6640625" customWidth="1"/>
    <col min="3" max="3" width="10.58203125" bestFit="1" customWidth="1"/>
    <col min="4" max="4" width="10.58203125" customWidth="1"/>
    <col min="5" max="5" width="9.9140625" bestFit="1" customWidth="1"/>
    <col min="6" max="6" width="8.9140625" bestFit="1" customWidth="1"/>
    <col min="7" max="7" width="9.58203125" bestFit="1" customWidth="1"/>
  </cols>
  <sheetData>
    <row r="1" spans="1:8" x14ac:dyDescent="0.45">
      <c r="A1" s="25" t="s">
        <v>0</v>
      </c>
      <c r="B1" s="25"/>
      <c r="C1" s="1"/>
      <c r="D1" s="1"/>
      <c r="E1" s="1"/>
      <c r="F1" s="1"/>
      <c r="G1" s="1"/>
      <c r="H1" s="2"/>
    </row>
    <row r="2" spans="1:8" x14ac:dyDescent="0.45">
      <c r="A2" s="3" t="s">
        <v>1</v>
      </c>
      <c r="B2" s="3"/>
      <c r="C2" s="3" t="s">
        <v>2</v>
      </c>
      <c r="D2" s="3"/>
      <c r="E2" s="3" t="s">
        <v>3</v>
      </c>
      <c r="F2" s="3" t="s">
        <v>4</v>
      </c>
      <c r="G2" s="3" t="s">
        <v>5</v>
      </c>
      <c r="H2" s="2"/>
    </row>
    <row r="3" spans="1:8" x14ac:dyDescent="0.45">
      <c r="A3" s="4">
        <v>4</v>
      </c>
      <c r="B3" s="4"/>
      <c r="C3" s="4">
        <f>A3*1024</f>
        <v>4096</v>
      </c>
      <c r="D3" s="4"/>
      <c r="E3" s="4">
        <f>C3*1024</f>
        <v>4194304</v>
      </c>
      <c r="F3" s="4">
        <f>E3/8</f>
        <v>524288</v>
      </c>
      <c r="G3" s="4">
        <f>F3/1024</f>
        <v>512</v>
      </c>
      <c r="H3" s="2"/>
    </row>
    <row r="4" spans="1:8" x14ac:dyDescent="0.45">
      <c r="A4" s="2"/>
      <c r="B4" s="2"/>
      <c r="C4" s="2"/>
      <c r="D4" s="2"/>
      <c r="E4" s="2"/>
      <c r="F4" s="2"/>
      <c r="G4" s="2"/>
      <c r="H4" s="2"/>
    </row>
    <row r="5" spans="1:8" x14ac:dyDescent="0.45">
      <c r="A5" s="5" t="s">
        <v>38</v>
      </c>
      <c r="B5" s="5"/>
      <c r="C5" s="2"/>
      <c r="D5" s="2"/>
      <c r="E5" s="2"/>
      <c r="F5" s="2"/>
      <c r="G5" s="2"/>
      <c r="H5" s="2"/>
    </row>
    <row r="6" spans="1:8" x14ac:dyDescent="0.45">
      <c r="A6" s="6" t="s">
        <v>34</v>
      </c>
      <c r="B6" s="30" t="s">
        <v>35</v>
      </c>
      <c r="C6" s="30"/>
      <c r="D6" s="30" t="s">
        <v>37</v>
      </c>
      <c r="E6" s="30"/>
      <c r="F6" s="30"/>
      <c r="G6" s="30"/>
    </row>
    <row r="7" spans="1:8" x14ac:dyDescent="0.45">
      <c r="A7" s="6">
        <v>10</v>
      </c>
      <c r="B7" s="30" t="s">
        <v>36</v>
      </c>
      <c r="C7" s="30"/>
      <c r="D7" s="30">
        <v>22000</v>
      </c>
      <c r="E7" s="30"/>
      <c r="F7" s="30"/>
      <c r="G7" s="30"/>
    </row>
    <row r="8" spans="1:8" x14ac:dyDescent="0.45">
      <c r="A8" s="6">
        <v>20</v>
      </c>
      <c r="B8" s="30"/>
      <c r="C8" s="30"/>
      <c r="D8" s="30">
        <v>44000</v>
      </c>
      <c r="E8" s="30"/>
      <c r="F8" s="30"/>
      <c r="G8" s="30"/>
    </row>
    <row r="9" spans="1:8" x14ac:dyDescent="0.45">
      <c r="A9" s="6">
        <v>30</v>
      </c>
      <c r="B9" s="30"/>
      <c r="C9" s="30"/>
      <c r="D9" s="30">
        <v>66000</v>
      </c>
      <c r="E9" s="30"/>
      <c r="F9" s="30"/>
      <c r="G9" s="30"/>
    </row>
    <row r="10" spans="1:8" x14ac:dyDescent="0.45">
      <c r="A10" s="6">
        <v>40</v>
      </c>
      <c r="B10" s="30"/>
      <c r="C10" s="30"/>
      <c r="D10" s="30">
        <v>88000</v>
      </c>
      <c r="E10" s="30"/>
      <c r="F10" s="30"/>
      <c r="G10" s="30"/>
    </row>
    <row r="11" spans="1:8" x14ac:dyDescent="0.45">
      <c r="A11" s="6">
        <v>50</v>
      </c>
      <c r="B11" s="30"/>
      <c r="C11" s="30"/>
      <c r="D11" s="30">
        <v>110000</v>
      </c>
      <c r="E11" s="30"/>
      <c r="F11" s="30"/>
      <c r="G11" s="30"/>
    </row>
    <row r="12" spans="1:8" x14ac:dyDescent="0.45">
      <c r="A12" s="6">
        <v>60</v>
      </c>
      <c r="B12" s="30"/>
      <c r="C12" s="30"/>
      <c r="D12" s="30">
        <v>132000</v>
      </c>
      <c r="E12" s="30"/>
      <c r="F12" s="30"/>
      <c r="G12" s="30"/>
    </row>
    <row r="13" spans="1:8" x14ac:dyDescent="0.45">
      <c r="A13" s="6">
        <v>70</v>
      </c>
      <c r="B13" s="30"/>
      <c r="C13" s="30"/>
      <c r="D13" s="30">
        <v>154000</v>
      </c>
      <c r="E13" s="30"/>
      <c r="F13" s="30"/>
      <c r="G13" s="30"/>
    </row>
    <row r="14" spans="1:8" x14ac:dyDescent="0.45">
      <c r="A14" s="6">
        <v>80</v>
      </c>
      <c r="B14" s="30"/>
      <c r="C14" s="30"/>
      <c r="D14" s="30">
        <v>176000</v>
      </c>
      <c r="E14" s="30"/>
      <c r="F14" s="30"/>
      <c r="G14" s="30"/>
    </row>
    <row r="15" spans="1:8" x14ac:dyDescent="0.45">
      <c r="A15" s="6">
        <v>90</v>
      </c>
      <c r="B15" s="30"/>
      <c r="C15" s="30"/>
      <c r="D15" s="30">
        <v>198000</v>
      </c>
      <c r="E15" s="30"/>
      <c r="F15" s="30"/>
      <c r="G15" s="30"/>
    </row>
    <row r="16" spans="1:8" x14ac:dyDescent="0.45">
      <c r="A16" s="7">
        <v>100</v>
      </c>
      <c r="B16" s="30"/>
      <c r="C16" s="30"/>
      <c r="D16" s="30">
        <v>220000</v>
      </c>
      <c r="E16" s="30"/>
      <c r="F16" s="30"/>
      <c r="G16" s="30"/>
    </row>
    <row r="17" spans="1:8" x14ac:dyDescent="0.45">
      <c r="A17" s="2"/>
      <c r="B17" s="2"/>
      <c r="C17" s="2"/>
      <c r="D17" s="2"/>
      <c r="E17" s="2"/>
      <c r="F17" s="2"/>
      <c r="G17" s="2"/>
      <c r="H17" s="2"/>
    </row>
    <row r="18" spans="1:8" x14ac:dyDescent="0.45">
      <c r="A18" s="5" t="s">
        <v>39</v>
      </c>
    </row>
    <row r="19" spans="1:8" x14ac:dyDescent="0.45">
      <c r="A19" s="26" t="s">
        <v>23</v>
      </c>
      <c r="B19" s="26" t="s">
        <v>24</v>
      </c>
      <c r="C19" s="34" t="s">
        <v>12</v>
      </c>
      <c r="D19" s="34"/>
      <c r="E19" s="34"/>
      <c r="F19" s="34"/>
      <c r="G19" s="34"/>
    </row>
    <row r="20" spans="1:8" x14ac:dyDescent="0.45">
      <c r="A20" s="26" t="s">
        <v>40</v>
      </c>
      <c r="B20" s="26"/>
      <c r="C20" s="32">
        <v>0</v>
      </c>
      <c r="D20" s="32"/>
      <c r="E20" s="26" t="s">
        <v>11</v>
      </c>
      <c r="F20" s="32">
        <v>150000</v>
      </c>
      <c r="G20" s="32"/>
    </row>
    <row r="21" spans="1:8" x14ac:dyDescent="0.45">
      <c r="A21" s="26" t="s">
        <v>17</v>
      </c>
      <c r="B21" s="26"/>
      <c r="C21" s="34">
        <v>150001</v>
      </c>
      <c r="D21" s="34"/>
      <c r="E21" s="26" t="s">
        <v>15</v>
      </c>
      <c r="F21" s="34">
        <v>260000</v>
      </c>
      <c r="G21" s="34"/>
    </row>
    <row r="22" spans="1:8" x14ac:dyDescent="0.45">
      <c r="A22" s="26" t="s">
        <v>18</v>
      </c>
      <c r="B22" s="26"/>
      <c r="C22" s="34">
        <v>260001</v>
      </c>
      <c r="D22" s="34"/>
      <c r="E22" s="26" t="s">
        <v>15</v>
      </c>
      <c r="F22" s="34">
        <v>260401</v>
      </c>
      <c r="G22" s="34"/>
    </row>
    <row r="23" spans="1:8" x14ac:dyDescent="0.45">
      <c r="A23" s="26" t="s">
        <v>19</v>
      </c>
      <c r="B23" s="26"/>
      <c r="C23" s="36">
        <v>270001</v>
      </c>
      <c r="D23" s="36"/>
      <c r="E23" s="26" t="s">
        <v>15</v>
      </c>
      <c r="F23" s="32">
        <v>277199</v>
      </c>
      <c r="G23" s="32"/>
    </row>
    <row r="24" spans="1:8" x14ac:dyDescent="0.45">
      <c r="A24" s="26" t="s">
        <v>17</v>
      </c>
      <c r="B24" s="26"/>
      <c r="C24" s="34">
        <v>300001</v>
      </c>
      <c r="D24" s="34"/>
      <c r="E24" s="26" t="s">
        <v>15</v>
      </c>
      <c r="F24" s="34">
        <v>410000</v>
      </c>
      <c r="G24" s="34"/>
    </row>
  </sheetData>
  <mergeCells count="24">
    <mergeCell ref="C23:D23"/>
    <mergeCell ref="F23:G23"/>
    <mergeCell ref="C21:D21"/>
    <mergeCell ref="F21:G21"/>
    <mergeCell ref="C22:D22"/>
    <mergeCell ref="F22:G22"/>
    <mergeCell ref="C24:D24"/>
    <mergeCell ref="F24:G24"/>
    <mergeCell ref="D14:G14"/>
    <mergeCell ref="D15:G15"/>
    <mergeCell ref="D16:G16"/>
    <mergeCell ref="C19:G19"/>
    <mergeCell ref="C20:D20"/>
    <mergeCell ref="F20:G20"/>
    <mergeCell ref="B6:C6"/>
    <mergeCell ref="D6:G6"/>
    <mergeCell ref="B7:C16"/>
    <mergeCell ref="D7:G7"/>
    <mergeCell ref="D8:G8"/>
    <mergeCell ref="D9:G9"/>
    <mergeCell ref="D10:G10"/>
    <mergeCell ref="D11:G11"/>
    <mergeCell ref="D12:G12"/>
    <mergeCell ref="D13:G1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iamresta@gmail.com</dc:creator>
  <cp:lastModifiedBy>정성찬</cp:lastModifiedBy>
  <dcterms:created xsi:type="dcterms:W3CDTF">2022-09-20T00:30:14Z</dcterms:created>
  <dcterms:modified xsi:type="dcterms:W3CDTF">2024-10-23T02:16:32Z</dcterms:modified>
</cp:coreProperties>
</file>